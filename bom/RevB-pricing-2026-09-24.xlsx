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e2007287e740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 B BOM" sheetId="1" r:id="Rc3652dc80bc145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"/>
    <x:numFmt numFmtId="201" formatCode="$#,##0.00"/>
    <x:numFmt numFmtId="202" formatCode="0"/>
    <x:numFmt numFmtId="203" formatCode="0.00"/>
  </x:numFmts>
  <x:fonts count="13">
    <x:font>
      <x:sz val="11"/>
      <x:name val="Carlito"/>
    </x:font>
    <x:font>
      <x:sz val="11"/>
      <x:name val="Arial"/>
    </x:font>
    <x:font>
      <x:sz val="10"/>
      <x:name val="Arial"/>
    </x:font>
    <x:font>
      <x:sz val="10"/>
      <x:color rgb="FF1E293B"/>
      <x:name val="Arial"/>
    </x:font>
    <x:font>
      <x:sz val="15"/>
      <x:color rgb="FF1E293B"/>
      <x:name val="Arial"/>
    </x:font>
    <x:font>
      <x:b/>
      <x:sz val="15"/>
      <x:color rgb="FF1E293B"/>
      <x:name val="Arial"/>
    </x:font>
    <x:font>
      <x:i/>
      <x:sz val="10"/>
      <x:color rgb="FF1E293B"/>
      <x:name val="Arial"/>
    </x:font>
    <x:font>
      <x:i/>
      <x:sz val="10"/>
      <x:color rgb="FF526579"/>
      <x:name val="Arial"/>
    </x:font>
    <x:font>
      <x:b/>
      <x:sz val="10"/>
      <x:color rgb="FF1E293B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  <x:font>
      <x:sz val="10"/>
      <x:color rgb="FF175DA0"/>
      <x:name val="Arial"/>
    </x:font>
    <x:font>
      <x:sz val="10"/>
      <x:color rgb="FF7A4A0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2C7"/>
      </x:patternFill>
    </x:fill>
    <x:fill>
      <x:patternFill patternType="solid">
        <x:fgColor rgb="FF17324D"/>
      </x:patternFill>
    </x:fill>
    <x:fill>
      <x:patternFill patternType="solid">
        <x:fgColor rgb="FFF4F7FA"/>
      </x:patternFill>
    </x:fill>
    <x:fill>
      <x:patternFill patternType="solid">
        <x:fgColor rgb="FFDCE7F1"/>
      </x:patternFill>
    </x:fill>
  </x:fills>
  <x:borders count="1">
    <x:border/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1" fontId="8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 applyAlignment="1">
      <x:alignment vertical="center"/>
    </x:xf>
    <x:xf numFmtId="0" fontId="10" fillId="3" borderId="0" xfId="0" applyNumberFormat="1" applyFont="1" applyFill="1" applyBorder="1" applyAlignment="1">
      <x:alignment vertical="center"/>
    </x:xf>
    <x:xf numFmtId="0" fontId="10" fillId="3" borderId="0" xfId="0" applyNumberFormat="1" applyFont="1" applyFill="1" applyBorder="1" applyAlignment="1">
      <x:alignment horizontal="center" vertical="center"/>
    </x:xf>
    <x:xf numFmtId="202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202" fontId="3" fillId="4" borderId="0" xfId="0" applyNumberFormat="1" applyFont="1" applyFill="1" applyBorder="1" applyAlignment="1">
      <x:alignment vertical="center"/>
    </x:xf>
    <x:xf numFmtId="203" fontId="3" fillId="4" borderId="0" xfId="0" applyNumberFormat="1" applyFont="1" applyFill="1" applyBorder="1" applyAlignment="1">
      <x:alignment vertical="center"/>
    </x:xf>
    <x:xf numFmtId="201" fontId="3" fillId="4" borderId="0" xfId="0" applyNumberFormat="1" applyFont="1" applyFill="1" applyBorder="1" applyAlignment="1">
      <x:alignment vertical="center"/>
    </x:xf>
    <x:xf numFmtId="0" fontId="11" fillId="4" borderId="0" xfId="0" applyNumberFormat="1" applyFont="1" applyFill="1" applyBorder="1" applyAlignment="1">
      <x:alignment vertical="center"/>
    </x:xf>
    <x:xf numFmtId="0" fontId="12" fillId="2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</x:xf>
    <x:xf numFmtId="0" fontId="8" fillId="5" borderId="0" xfId="0" applyNumberFormat="1" applyFont="1" applyFill="1" applyBorder="1" applyAlignment="1">
      <x:alignment vertical="center"/>
    </x:xf>
    <x:xf numFmtId="201" fontId="8" fillId="5" borderId="0" xfId="0" applyNumberFormat="1" applyFont="1" applyFill="1" applyBorder="1" applyAlignment="1">
      <x:alignment vertical="center"/>
    </x:xf>
    <x:xf numFmtId="0" fontId="12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2e73f6d1984402" /><Relationship Type="http://schemas.openxmlformats.org/officeDocument/2006/relationships/theme" Target="/xl/theme/theme1.xml" Id="Rf89c721c886d483c" /><Relationship Type="http://schemas.openxmlformats.org/officeDocument/2006/relationships/sharedStrings" Target="/xl/sharedStrings.xml" Id="Re9727242742d404c" /><Relationship Type="http://schemas.openxmlformats.org/officeDocument/2006/relationships/worksheet" Target="/xl/worksheets/sheet1.xml" Id="Rc3652dc80bc145c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1" Type="http://schemas.openxmlformats.org/officeDocument/2006/relationships/hyperlink" Target="https://www.waveshare.com/product/rp2040-matrix.htm" TargetMode="External" /><ns0:Relationship Id="rId2" Type="http://schemas.openxmlformats.org/officeDocument/2006/relationships/hyperlink" Target="https://www.mouser.com/en/ProductDetail/RECOM-Power/R-78B5.0-1.0" TargetMode="External" /><ns0:Relationship Id="rId3" Type="http://schemas.openxmlformats.org/officeDocument/2006/relationships/hyperlink" Target="https://www.mouser.com/ProductDetail/Texas-Instruments/TL074CN" TargetMode="External" /><ns0:Relationship Id="rId4" Type="http://schemas.openxmlformats.org/officeDocument/2006/relationships/hyperlink" Target="https://www.mouser.com/en/ProductDetail/Amphenol-FCI/71918-210LF" TargetMode="External" /><ns0:Relationship Id="rId5" Type="http://schemas.openxmlformats.org/officeDocument/2006/relationships/hyperlink" Target="https://www.thonk.co.uk/shop/thonkiconn/" TargetMode="External" /><ns0:Relationship Id="rId6" Type="http://schemas.openxmlformats.org/officeDocument/2006/relationships/hyperlink" Target="https://www.mouser.com/en/ProductDetail/Vishay-Semiconductors/1N5819-E3-73" TargetMode="External" /><ns0:Relationship Id="rId7" Type="http://schemas.openxmlformats.org/officeDocument/2006/relationships/hyperlink" Target="https://www.mouser.com/ProductDetail/Wurth-Elektronik/860160672009" TargetMode="External" /><ns0:Relationship Id="rId8" Type="http://schemas.openxmlformats.org/officeDocument/2006/relationships/hyperlink" Target="https://www.mouser.com/en/ProductDetail/Vishay-BC-Components/K104K10X7RF5TH5" TargetMode="External" /><ns0:Relationship Id="rId9" Type="http://schemas.openxmlformats.org/officeDocument/2006/relationships/hyperlink" Target="https://www.mouser.com/ProductDetail/KEMET/C410C225K3R5TA" TargetMode="External" /><ns0:Relationship Id="rId10" Type="http://schemas.openxmlformats.org/officeDocument/2006/relationships/hyperlink" Target="https://www.mouser.com/ProductDetail/KYOCERA-AVX/SCMR18D105SRBB0" TargetMode="External" /><ns0:Relationship Id="rId11" Type="http://schemas.openxmlformats.org/officeDocument/2006/relationships/hyperlink" Target="https://www.mouser.com/en/ProductDetail/YAGEO/MFR-25FBF52-3K3" TargetMode="External" /><ns0:Relationship Id="rId12" Type="http://schemas.openxmlformats.org/officeDocument/2006/relationships/hyperlink" Target="https://www.mouser.com/ProductDetail/YAGEO/MFR-25FRF52-12K" TargetMode="External" /><ns0:Relationship Id="rId13" Type="http://schemas.openxmlformats.org/officeDocument/2006/relationships/hyperlink" Target="https://www.mouser.com/ProductDetail/YAGEO/MFR-25FRF52-5K76" TargetMode="External" /><ns0:Relationship Id="rId14" Type="http://schemas.openxmlformats.org/officeDocument/2006/relationships/hyperlink" Target="https://www.mouser.com/en/ProductDetail/YAGEO/MFR-25FRF52-330R" TargetMode="External" /><ns0:Relationship Id="rId15" Type="http://schemas.openxmlformats.org/officeDocument/2006/relationships/hyperlink" Target="https://www.mouser.com/ProductDetail/YAGEO/MFR-25FBF52-10K5" TargetMode="External" /><ns0:Relationship Id="rId16" Type="http://schemas.openxmlformats.org/officeDocument/2006/relationships/hyperlink" Target="https://www.mouser.com/en/ProductDetail/YAGEO/MFR-25FRF52-30K1" TargetMode="External" /><ns0:Relationship Id="rId17" Type="http://schemas.openxmlformats.org/officeDocument/2006/relationships/hyperlink" Target="https://www.mouser.com/ProductDetail/YAGEO/MFR-25FRF52-10K" TargetMode="External" /><ns0:Relationship Id="rId18" Type="http://schemas.openxmlformats.org/officeDocument/2006/relationships/hyperlink" Target="https://www.mouser.com/en/ProductDetail/YAGEO/FMP300JR-73-10R" TargetMode="External" /><ns0:Relationship Id="rId19" Type="http://schemas.openxmlformats.org/officeDocument/2006/relationships/hyperlink" Target="https://www.thonk.co.uk/shop/thonkiconn/" TargetMode="External" /><ns0:Relationship Id="rId20" Type="http://schemas.openxmlformats.org/officeDocument/2006/relationships/hyperlink" Target="https://www.thonk.co.uk/shop/thonkiconn/" TargetMode="External" /><ns0:Relationship Id="rId21" Type="http://schemas.openxmlformats.org/officeDocument/2006/relationships/hyperlink" Target="https://www.thonk.co.uk/shop/eurorack-power-cables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7324D"/>
  </sheetPr>
  <sheetViews>
    <sheetView showGridLines="0" workbookViewId="0">
      <pane ySplit="12" topLeftCell="A13" activePane="bottomLeft" state="frozen"/>
    </sheetView>
  </sheetViews>
  <sheetFormatPr defaultRowHeight="15"/>
  <cols>
    <col min="1" max="1" width="18" hidden="0" customWidth="1"/>
    <col min="2" max="2" width="25" hidden="0" customWidth="1"/>
    <col min="3" max="3" width="52" hidden="0" customWidth="1"/>
    <col min="4" max="4" width="36" hidden="0" customWidth="1"/>
    <col min="5" max="5" width="19" hidden="0" customWidth="1"/>
    <col min="6" max="6" width="14" hidden="0" customWidth="1"/>
    <col min="7" max="7" width="14" hidden="0" customWidth="1"/>
    <col min="8" max="8" width="14" hidden="0" customWidth="1"/>
    <col min="9" max="9" width="9" hidden="0" customWidth="1"/>
    <col min="10" max="10" width="15" hidden="0" customWidth="1"/>
    <col min="11" max="11" width="17" hidden="0" customWidth="1"/>
    <col min="12" max="12" width="18" hidden="0" customWidth="1"/>
    <col min="13" max="13" width="19" hidden="0" customWidth="1"/>
  </cols>
  <sheetData>
    <row r="2">
      <c r="A2" s="6" t="str">
        <v>Slow LFO · 8 HP · Rev B BOM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>
      <c r="A3" s="8" t="str">
        <v>Pricing snapshot: 24 Sep 2026. USD. Tax, shipping, tariff and assembly excluded.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ht="24" customHeight="1">
      <c r="A5" s="4" t="str">
        <v>GBP → USD assumption</v>
      </c>
      <c r="B5" s="10" t="n">
        <v>1.321</v>
      </c>
      <c r="C5" s="4"/>
      <c r="D5" s="4" t="str">
        <v>Editable exchange-rate input</v>
      </c>
      <c r="E5" s="4"/>
      <c r="F5" s="4"/>
      <c r="G5" s="4"/>
      <c r="H5" s="4"/>
      <c r="I5" s="4"/>
      <c r="J5" s="4"/>
      <c r="K5" s="4"/>
      <c r="L5" s="4"/>
      <c r="M5" s="4"/>
    </row>
    <row r="6" ht="24" customHeight="1">
      <c r="A6" s="4" t="str">
        <v>Mouser priced subtotal</v>
      </c>
      <c r="B6" s="11" t="n">
        <f>SUMIF(E13:E38,"Mouser",K13:K38)</f>
        <v>25.450000000000003</v>
      </c>
      <c r="C6" s="4"/>
      <c r="D6" s="4" t="str">
        <v>Includes budget prices and backordered C11. Not an orderable single-cart total.</v>
      </c>
      <c r="E6" s="4"/>
      <c r="F6" s="4"/>
      <c r="G6" s="4"/>
      <c r="H6" s="4"/>
      <c r="I6" s="4"/>
      <c r="J6" s="4"/>
      <c r="K6" s="4"/>
      <c r="L6" s="4"/>
      <c r="M6" s="4"/>
    </row>
    <row r="7" ht="24" customHeight="1">
      <c r="A7" s="4" t="str">
        <v>Other stores priced subtotal</v>
      </c>
      <c r="B7" s="11" t="n">
        <f>SUM(K13:K38)-B6</f>
        <v>16.814279999999997</v>
      </c>
      <c r="C7" s="4"/>
      <c r="D7" s="4" t="str">
        <v>Waveshare + Thonk; GBP converted with B5.</v>
      </c>
      <c r="E7" s="4"/>
      <c r="F7" s="4"/>
      <c r="G7" s="4"/>
      <c r="H7" s="4"/>
      <c r="I7" s="4"/>
      <c r="J7" s="4"/>
      <c r="K7" s="4"/>
      <c r="L7" s="4"/>
      <c r="M7" s="4"/>
    </row>
    <row r="8" ht="24" customHeight="1">
      <c r="A8" s="4" t="str">
        <v>Priced materials subtotal</v>
      </c>
      <c r="B8" s="12" t="n">
        <f>SUM(K13:K38)</f>
        <v>42.26428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</row>
    <row r="9" ht="24" customHeight="1">
      <c r="A9" s="4" t="str">
        <v>Complete build cost</v>
      </c>
      <c r="B9" s="13" t="str">
        <f>IF(COUNTBLANK(K13:K38)&gt;0,"TBD",B8)</f>
        <v>TBD</v>
      </c>
      <c r="C9" s="4"/>
      <c r="D9" s="4" t="str">
        <v>TBD until encoder, knob, PCB, faceplate and blocked fit choices are resolved.</v>
      </c>
      <c r="E9" s="4"/>
      <c r="F9" s="4"/>
      <c r="G9" s="4"/>
      <c r="H9" s="4"/>
      <c r="I9" s="4"/>
      <c r="J9" s="4"/>
      <c r="K9" s="4"/>
      <c r="L9" s="4"/>
      <c r="M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ht="30" customHeight="1">
      <c r="A12" s="17" t="str">
        <v>Category</v>
      </c>
      <c r="B12" s="17" t="str">
        <v>References</v>
      </c>
      <c r="C12" s="17" t="str">
        <v>Part / specification</v>
      </c>
      <c r="D12" s="17" t="str">
        <v>Manufacturer part / item</v>
      </c>
      <c r="E12" s="17" t="str">
        <v>Storefront</v>
      </c>
      <c r="F12" s="17" t="str">
        <v>Qty needed</v>
      </c>
      <c r="G12" s="17" t="str">
        <v>Order units</v>
      </c>
      <c r="H12" s="17" t="str">
        <v>Unit price</v>
      </c>
      <c r="I12" s="17" t="str">
        <v>CCY</v>
      </c>
      <c r="J12" s="17" t="str">
        <v>USD / unit</v>
      </c>
      <c r="K12" s="17" t="str">
        <v>Line total USD</v>
      </c>
      <c r="L12" s="17" t="str">
        <v>Sourcing / fit</v>
      </c>
      <c r="M12" s="17" t="str">
        <v>Product link</v>
      </c>
    </row>
    <row r="13" ht="24" customHeight="1">
      <c r="A13" s="4" t="str">
        <v>Module</v>
      </c>
      <c r="B13" s="4" t="str">
        <v>U1</v>
      </c>
      <c r="C13" s="4" t="str">
        <v>5×5 LED RP2040 module</v>
      </c>
      <c r="D13" s="4" t="str">
        <v>RP2040-Matrix / SKU 24594</v>
      </c>
      <c r="E13" s="4" t="str">
        <v>Waveshare</v>
      </c>
      <c r="F13" s="18" t="n">
        <v>1</v>
      </c>
      <c r="G13" s="18" t="n">
        <v>1</v>
      </c>
      <c r="H13" s="19" t="n">
        <v>7.99</v>
      </c>
      <c r="I13" s="4" t="str">
        <v>USD</v>
      </c>
      <c r="J13" s="11" t="n">
        <f>IF(ISNUMBER(H13),H13*IF(I13="GBP",$B$5,1),"")</f>
        <v>7.99</v>
      </c>
      <c r="K13" s="11" t="n">
        <f>IF(ISNUMBER(J13),G13*J13,"")</f>
        <v>7.99</v>
      </c>
      <c r="L13" s="4" t="str">
        <v>OTHER STORE</v>
      </c>
      <c r="M13" s="20" t="str">
        <v>Open product</v>
      </c>
    </row>
    <row r="14" ht="24" customHeight="1">
      <c r="A14" s="21" t="str">
        <v>Power</v>
      </c>
      <c r="B14" s="21" t="str">
        <v>U2</v>
      </c>
      <c r="C14" s="21" t="str">
        <v>5 V 1 A switching regulator</v>
      </c>
      <c r="D14" s="21" t="str">
        <v>R-78B5.0-1.0</v>
      </c>
      <c r="E14" s="21" t="str">
        <v>Mouser</v>
      </c>
      <c r="F14" s="22" t="n">
        <v>1</v>
      </c>
      <c r="G14" s="22" t="n">
        <v>1</v>
      </c>
      <c r="H14" s="23" t="n">
        <v>11.67</v>
      </c>
      <c r="I14" s="21" t="str">
        <v>USD</v>
      </c>
      <c r="J14" s="24" t="n">
        <f>IF(ISNUMBER(H14),H14*IF(I14="GBP",$B$5,1),"")</f>
        <v>11.67</v>
      </c>
      <c r="K14" s="24" t="n">
        <f>IF(ISNUMBER(J14),G14*J14,"")</f>
        <v>11.67</v>
      </c>
      <c r="L14" s="26" t="str">
        <v>FIT CHECK</v>
      </c>
      <c r="M14" s="25" t="str">
        <v>Open product</v>
      </c>
    </row>
    <row r="15" ht="24" customHeight="1">
      <c r="A15" s="4" t="str">
        <v>Analog</v>
      </c>
      <c r="B15" s="4" t="str">
        <v>U3</v>
      </c>
      <c r="C15" s="4" t="str">
        <v>Quad operational amplifier, DIP-14</v>
      </c>
      <c r="D15" s="4" t="str">
        <v>TL074CN</v>
      </c>
      <c r="E15" s="4" t="str">
        <v>Mouser</v>
      </c>
      <c r="F15" s="18" t="n">
        <v>1</v>
      </c>
      <c r="G15" s="18" t="n">
        <v>1</v>
      </c>
      <c r="H15" s="19" t="n">
        <v>1.07</v>
      </c>
      <c r="I15" s="4" t="str">
        <v>USD</v>
      </c>
      <c r="J15" s="11" t="n">
        <f>IF(ISNUMBER(H15),H15*IF(I15="GBP",$B$5,1),"")</f>
        <v>1.07</v>
      </c>
      <c r="K15" s="11" t="n">
        <f>IF(ISNUMBER(J15),G15*J15,"")</f>
        <v>1.07</v>
      </c>
      <c r="L15" s="4" t="str">
        <v>SELECTED</v>
      </c>
      <c r="M15" s="20" t="str">
        <v>Open product</v>
      </c>
    </row>
    <row r="16" ht="24" customHeight="1">
      <c r="A16" s="21" t="str">
        <v>Control</v>
      </c>
      <c r="B16" s="21" t="str">
        <v>ENC1</v>
      </c>
      <c r="C16" s="21" t="str">
        <v>Push rotary encoder, user-purchased</v>
      </c>
      <c r="D16" s="21" t="str">
        <v>Exact MPN unknown</v>
      </c>
      <c r="E16" s="21" t="str">
        <v>Owner supplied</v>
      </c>
      <c r="F16" s="22" t="n">
        <v>1</v>
      </c>
      <c r="G16" s="22" t="n">
        <v>1</v>
      </c>
      <c r="H16" s="23"/>
      <c r="I16" s="21" t="str">
        <v>USD</v>
      </c>
      <c r="J16" s="24" t="str">
        <f>IF(ISNUMBER(H16),H16*IF(I16="GBP",$B$5,1),"")</f>
      </c>
      <c r="K16" s="24" t="str">
        <f>IF(ISNUMBER(J16),G16*J16,"")</f>
      </c>
      <c r="L16" s="26" t="str">
        <v>FIT CHECK</v>
      </c>
      <c r="M16" s="25"/>
    </row>
    <row r="17" ht="24" customHeight="1">
      <c r="A17" s="4" t="str">
        <v>Power</v>
      </c>
      <c r="B17" s="4" t="str">
        <v>J1</v>
      </c>
      <c r="C17" s="4" t="str">
        <v>Keyed 2×5 2.54 mm Eurorack power header</v>
      </c>
      <c r="D17" s="4" t="str">
        <v>71918-210LF</v>
      </c>
      <c r="E17" s="4" t="str">
        <v>Mouser</v>
      </c>
      <c r="F17" s="18" t="n">
        <v>1</v>
      </c>
      <c r="G17" s="18" t="n">
        <v>1</v>
      </c>
      <c r="H17" s="19" t="n">
        <v>1.4</v>
      </c>
      <c r="I17" s="4" t="str">
        <v>USD</v>
      </c>
      <c r="J17" s="11" t="n">
        <f>IF(ISNUMBER(H17),H17*IF(I17="GBP",$B$5,1),"")</f>
        <v>1.4</v>
      </c>
      <c r="K17" s="11" t="n">
        <f>IF(ISNUMBER(J17),G17*J17,"")</f>
        <v>1.4</v>
      </c>
      <c r="L17" s="26" t="str">
        <v>FIT CHECK</v>
      </c>
      <c r="M17" s="20" t="str">
        <v>Open product</v>
      </c>
    </row>
    <row r="18" ht="24" customHeight="1">
      <c r="A18" s="21" t="str">
        <v>I/O</v>
      </c>
      <c r="B18" s="21" t="str">
        <v>J2, J3, J4</v>
      </c>
      <c r="C18" s="21" t="str">
        <v>3.5 mm switched mono jacks</v>
      </c>
      <c r="D18" s="21" t="str">
        <v>WQP518MA / PJ398SM compatible</v>
      </c>
      <c r="E18" s="21" t="str">
        <v>Thonk</v>
      </c>
      <c r="F18" s="22" t="n">
        <v>3</v>
      </c>
      <c r="G18" s="22" t="n">
        <v>3</v>
      </c>
      <c r="H18" s="23" t="n">
        <v>0.38</v>
      </c>
      <c r="I18" s="21" t="str">
        <v>GBP</v>
      </c>
      <c r="J18" s="24" t="n">
        <f>IF(ISNUMBER(H18),H18*IF(I18="GBP",$B$5,1),"")</f>
        <v>0.50198</v>
      </c>
      <c r="K18" s="24" t="n">
        <f>IF(ISNUMBER(J18),G18*J18,"")</f>
        <v>1.5059399999999998</v>
      </c>
      <c r="L18" s="21" t="str">
        <v>OTHER STORE</v>
      </c>
      <c r="M18" s="25" t="str">
        <v>Open product</v>
      </c>
    </row>
    <row r="19" ht="24" customHeight="1">
      <c r="A19" s="4" t="str">
        <v>Power</v>
      </c>
      <c r="B19" s="4" t="str">
        <v>D1, D2, D3</v>
      </c>
      <c r="C19" s="4" t="str">
        <v>Schottky diode, DO-41</v>
      </c>
      <c r="D19" s="4" t="str">
        <v>1N5819-E3/73</v>
      </c>
      <c r="E19" s="4" t="str">
        <v>Mouser</v>
      </c>
      <c r="F19" s="18" t="n">
        <v>3</v>
      </c>
      <c r="G19" s="18" t="n">
        <v>3</v>
      </c>
      <c r="H19" s="19" t="n">
        <v>0.76</v>
      </c>
      <c r="I19" s="4" t="str">
        <v>USD</v>
      </c>
      <c r="J19" s="11" t="n">
        <f>IF(ISNUMBER(H19),H19*IF(I19="GBP",$B$5,1),"")</f>
        <v>0.76</v>
      </c>
      <c r="K19" s="11" t="n">
        <f>IF(ISNUMBER(J19),G19*J19,"")</f>
        <v>2.2800000000000002</v>
      </c>
      <c r="L19" s="4" t="str">
        <v>SELECTED</v>
      </c>
      <c r="M19" s="20" t="str">
        <v>Open product</v>
      </c>
    </row>
    <row r="20" ht="24" customHeight="1">
      <c r="A20" s="21" t="str">
        <v>Analog</v>
      </c>
      <c r="B20" s="21" t="str">
        <v>C2, C3, C4, C5, C8</v>
      </c>
      <c r="C20" s="21" t="str">
        <v>10 µF 50 V radial electrolytic, 5 mm body, 2 mm pitch</v>
      </c>
      <c r="D20" s="21" t="str">
        <f>"860160672009"</f>
        <v>860160672009</v>
      </c>
      <c r="E20" s="21" t="str">
        <v>Mouser</v>
      </c>
      <c r="F20" s="22" t="n">
        <v>5</v>
      </c>
      <c r="G20" s="22" t="n">
        <v>5</v>
      </c>
      <c r="H20" s="23" t="n">
        <v>0.14</v>
      </c>
      <c r="I20" s="21" t="str">
        <v>USD</v>
      </c>
      <c r="J20" s="24" t="n">
        <f>IF(ISNUMBER(H20),H20*IF(I20="GBP",$B$5,1),"")</f>
        <v>0.14</v>
      </c>
      <c r="K20" s="24" t="n">
        <f>IF(ISNUMBER(J20),G20*J20,"")</f>
        <v>0.7000000000000001</v>
      </c>
      <c r="L20" s="21" t="str">
        <v>SELECTED</v>
      </c>
      <c r="M20" s="25" t="str">
        <v>Open product</v>
      </c>
    </row>
    <row r="21" ht="24" customHeight="1">
      <c r="A21" s="4" t="str">
        <v>Analog</v>
      </c>
      <c r="B21" s="4" t="str">
        <v>C6, C7</v>
      </c>
      <c r="C21" s="4" t="str">
        <v>100 nF 50 V X7R radial ceramic, 5 mm pitch</v>
      </c>
      <c r="D21" s="4" t="str">
        <v>K104K10X7RF5TH5</v>
      </c>
      <c r="E21" s="4" t="str">
        <v>Mouser</v>
      </c>
      <c r="F21" s="18" t="n">
        <v>2</v>
      </c>
      <c r="G21" s="18" t="n">
        <v>2</v>
      </c>
      <c r="H21" s="19" t="n">
        <v>0.27</v>
      </c>
      <c r="I21" s="4" t="str">
        <v>USD</v>
      </c>
      <c r="J21" s="11" t="n">
        <f>IF(ISNUMBER(H21),H21*IF(I21="GBP",$B$5,1),"")</f>
        <v>0.27</v>
      </c>
      <c r="K21" s="11" t="n">
        <f>IF(ISNUMBER(J21),G21*J21,"")</f>
        <v>0.54</v>
      </c>
      <c r="L21" s="4" t="str">
        <v>SELECTED</v>
      </c>
      <c r="M21" s="20" t="str">
        <v>Open product</v>
      </c>
    </row>
    <row r="22" ht="24" customHeight="1">
      <c r="A22" s="21" t="str">
        <v>Analog</v>
      </c>
      <c r="B22" s="21" t="str">
        <v>C9</v>
      </c>
      <c r="C22" s="21" t="str">
        <v>2.2 µF 25 V X7R radial ceramic candidate</v>
      </c>
      <c r="D22" s="21" t="str">
        <v>C410C225K3R5TA</v>
      </c>
      <c r="E22" s="21" t="str">
        <v>Mouser</v>
      </c>
      <c r="F22" s="22" t="n">
        <v>1</v>
      </c>
      <c r="G22" s="22" t="n">
        <v>1</v>
      </c>
      <c r="H22" s="23" t="n">
        <v>0.45</v>
      </c>
      <c r="I22" s="21" t="str">
        <v>USD</v>
      </c>
      <c r="J22" s="24" t="n">
        <f>IF(ISNUMBER(H22),H22*IF(I22="GBP",$B$5,1),"")</f>
        <v>0.45</v>
      </c>
      <c r="K22" s="24" t="n">
        <f>IF(ISNUMBER(J22),G22*J22,"")</f>
        <v>0.45</v>
      </c>
      <c r="L22" s="26" t="str">
        <v>PCB CHANGE</v>
      </c>
      <c r="M22" s="25" t="str">
        <v>Open product</v>
      </c>
    </row>
    <row r="23" ht="24" customHeight="1">
      <c r="A23" s="4" t="str">
        <v>Power</v>
      </c>
      <c r="B23" s="4" t="str">
        <v>C11</v>
      </c>
      <c r="C23" s="4" t="str">
        <v>1 F 5.4 V supercapacitor, radial</v>
      </c>
      <c r="D23" s="4" t="str">
        <v>SCMR18D105SRBB0</v>
      </c>
      <c r="E23" s="4" t="str">
        <v>Mouser</v>
      </c>
      <c r="F23" s="18" t="n">
        <v>1</v>
      </c>
      <c r="G23" s="18" t="n">
        <v>1</v>
      </c>
      <c r="H23" s="19" t="n">
        <v>5.06</v>
      </c>
      <c r="I23" s="4" t="str">
        <v>USD</v>
      </c>
      <c r="J23" s="11" t="n">
        <f>IF(ISNUMBER(H23),H23*IF(I23="GBP",$B$5,1),"")</f>
        <v>5.06</v>
      </c>
      <c r="K23" s="11" t="n">
        <f>IF(ISNUMBER(J23),G23*J23,"")</f>
        <v>5.06</v>
      </c>
      <c r="L23" s="26" t="str">
        <v>BACKORDER</v>
      </c>
      <c r="M23" s="20" t="str">
        <v>Open product</v>
      </c>
    </row>
    <row r="24" ht="24" customHeight="1">
      <c r="A24" s="21" t="str">
        <v>Resistors</v>
      </c>
      <c r="B24" s="21" t="str">
        <v>R1, R2, R6, R7, R16</v>
      </c>
      <c r="C24" s="21" t="str">
        <v>3.3 kΩ 1% 0.25 W axial</v>
      </c>
      <c r="D24" s="21" t="str">
        <v>MFR-25FBF52-3K3</v>
      </c>
      <c r="E24" s="21" t="str">
        <v>Mouser</v>
      </c>
      <c r="F24" s="22" t="n">
        <v>5</v>
      </c>
      <c r="G24" s="22" t="n">
        <v>5</v>
      </c>
      <c r="H24" s="23" t="n">
        <v>0.1</v>
      </c>
      <c r="I24" s="21" t="str">
        <v>USD</v>
      </c>
      <c r="J24" s="24" t="n">
        <f>IF(ISNUMBER(H24),H24*IF(I24="GBP",$B$5,1),"")</f>
        <v>0.1</v>
      </c>
      <c r="K24" s="24" t="n">
        <f>IF(ISNUMBER(J24),G24*J24,"")</f>
        <v>0.5</v>
      </c>
      <c r="L24" s="21" t="str">
        <v>SELECTED</v>
      </c>
      <c r="M24" s="25" t="str">
        <v>Open product</v>
      </c>
    </row>
    <row r="25" ht="24" customHeight="1">
      <c r="A25" s="4" t="str">
        <v>Resistors</v>
      </c>
      <c r="B25" s="4" t="str">
        <v>R3, R8, R11</v>
      </c>
      <c r="C25" s="4" t="str">
        <v>12 kΩ 1% 0.25 W axial</v>
      </c>
      <c r="D25" s="4" t="str">
        <v>MFR-25FRF52-12K</v>
      </c>
      <c r="E25" s="4" t="str">
        <v>Mouser</v>
      </c>
      <c r="F25" s="18" t="n">
        <v>3</v>
      </c>
      <c r="G25" s="18" t="n">
        <v>3</v>
      </c>
      <c r="H25" s="19" t="n">
        <v>0.1</v>
      </c>
      <c r="I25" s="4" t="str">
        <v>USD</v>
      </c>
      <c r="J25" s="11" t="n">
        <f>IF(ISNUMBER(H25),H25*IF(I25="GBP",$B$5,1),"")</f>
        <v>0.1</v>
      </c>
      <c r="K25" s="11" t="n">
        <f>IF(ISNUMBER(J25),G25*J25,"")</f>
        <v>0.30000000000000004</v>
      </c>
      <c r="L25" s="4" t="str">
        <v>PRICE EST.</v>
      </c>
      <c r="M25" s="20" t="str">
        <v>Open product</v>
      </c>
    </row>
    <row r="26" ht="24" customHeight="1">
      <c r="A26" s="21" t="str">
        <v>Resistors</v>
      </c>
      <c r="B26" s="21" t="str">
        <v>R4, R9, R12</v>
      </c>
      <c r="C26" s="21" t="str">
        <v>5.76 kΩ 1% 0.25 W axial</v>
      </c>
      <c r="D26" s="21" t="str">
        <v>MFR-25FRF52-5K76</v>
      </c>
      <c r="E26" s="21" t="str">
        <v>Mouser</v>
      </c>
      <c r="F26" s="22" t="n">
        <v>3</v>
      </c>
      <c r="G26" s="22" t="n">
        <v>3</v>
      </c>
      <c r="H26" s="23" t="n">
        <v>0.1</v>
      </c>
      <c r="I26" s="21" t="str">
        <v>USD</v>
      </c>
      <c r="J26" s="24" t="n">
        <f>IF(ISNUMBER(H26),H26*IF(I26="GBP",$B$5,1),"")</f>
        <v>0.1</v>
      </c>
      <c r="K26" s="24" t="n">
        <f>IF(ISNUMBER(J26),G26*J26,"")</f>
        <v>0.30000000000000004</v>
      </c>
      <c r="L26" s="21" t="str">
        <v>PRICE EST.</v>
      </c>
      <c r="M26" s="25" t="str">
        <v>Open product</v>
      </c>
    </row>
    <row r="27" ht="24" customHeight="1">
      <c r="A27" s="4" t="str">
        <v>Resistors</v>
      </c>
      <c r="B27" s="4" t="str">
        <v>R5, R10, R13</v>
      </c>
      <c r="C27" s="4" t="str">
        <v>330 Ω 1% 0.25 W axial</v>
      </c>
      <c r="D27" s="4" t="str">
        <v>MFR-25FRF52-330R</v>
      </c>
      <c r="E27" s="4" t="str">
        <v>Mouser</v>
      </c>
      <c r="F27" s="18" t="n">
        <v>3</v>
      </c>
      <c r="G27" s="18" t="n">
        <v>3</v>
      </c>
      <c r="H27" s="19" t="n">
        <v>0.1</v>
      </c>
      <c r="I27" s="4" t="str">
        <v>USD</v>
      </c>
      <c r="J27" s="11" t="n">
        <f>IF(ISNUMBER(H27),H27*IF(I27="GBP",$B$5,1),"")</f>
        <v>0.1</v>
      </c>
      <c r="K27" s="11" t="n">
        <f>IF(ISNUMBER(J27),G27*J27,"")</f>
        <v>0.30000000000000004</v>
      </c>
      <c r="L27" s="4" t="str">
        <v>SELECTED</v>
      </c>
      <c r="M27" s="20" t="str">
        <v>Open product</v>
      </c>
    </row>
    <row r="28" ht="24" customHeight="1">
      <c r="A28" s="21" t="str">
        <v>Resistors</v>
      </c>
      <c r="B28" s="21" t="str">
        <v>R14</v>
      </c>
      <c r="C28" s="21" t="str">
        <v>10.5 kΩ 1% 0.25 W axial</v>
      </c>
      <c r="D28" s="21" t="str">
        <v>MFR-25FBF52-10K5</v>
      </c>
      <c r="E28" s="21" t="str">
        <v>Mouser</v>
      </c>
      <c r="F28" s="22" t="n">
        <v>1</v>
      </c>
      <c r="G28" s="22" t="n">
        <v>1</v>
      </c>
      <c r="H28" s="23" t="n">
        <v>0.1</v>
      </c>
      <c r="I28" s="21" t="str">
        <v>USD</v>
      </c>
      <c r="J28" s="24" t="n">
        <f>IF(ISNUMBER(H28),H28*IF(I28="GBP",$B$5,1),"")</f>
        <v>0.1</v>
      </c>
      <c r="K28" s="24" t="n">
        <f>IF(ISNUMBER(J28),G28*J28,"")</f>
        <v>0.1</v>
      </c>
      <c r="L28" s="21" t="str">
        <v>PRICE EST.</v>
      </c>
      <c r="M28" s="25" t="str">
        <v>Open product</v>
      </c>
    </row>
    <row r="29" ht="24" customHeight="1">
      <c r="A29" s="4" t="str">
        <v>Resistors</v>
      </c>
      <c r="B29" s="4" t="str">
        <v>R15</v>
      </c>
      <c r="C29" s="4" t="str">
        <v>30.1 kΩ 1% 0.25 W axial</v>
      </c>
      <c r="D29" s="4" t="str">
        <v>MFR-25FRF52-30K1</v>
      </c>
      <c r="E29" s="4" t="str">
        <v>Mouser</v>
      </c>
      <c r="F29" s="18" t="n">
        <v>1</v>
      </c>
      <c r="G29" s="18" t="n">
        <v>1</v>
      </c>
      <c r="H29" s="19" t="n">
        <v>0.1</v>
      </c>
      <c r="I29" s="4" t="str">
        <v>USD</v>
      </c>
      <c r="J29" s="11" t="n">
        <f>IF(ISNUMBER(H29),H29*IF(I29="GBP",$B$5,1),"")</f>
        <v>0.1</v>
      </c>
      <c r="K29" s="11" t="n">
        <f>IF(ISNUMBER(J29),G29*J29,"")</f>
        <v>0.1</v>
      </c>
      <c r="L29" s="4" t="str">
        <v>SELECTED</v>
      </c>
      <c r="M29" s="20" t="str">
        <v>Open product</v>
      </c>
    </row>
    <row r="30" ht="24" customHeight="1">
      <c r="A30" s="21" t="str">
        <v>Resistors</v>
      </c>
      <c r="B30" s="21" t="str">
        <v>R19, R20, R21, R22</v>
      </c>
      <c r="C30" s="21" t="str">
        <v>10 kΩ 1% 0.25 W axial</v>
      </c>
      <c r="D30" s="21" t="str">
        <v>MFR-25FRF52-10K</v>
      </c>
      <c r="E30" s="21" t="str">
        <v>Mouser</v>
      </c>
      <c r="F30" s="22" t="n">
        <v>4</v>
      </c>
      <c r="G30" s="22" t="n">
        <v>4</v>
      </c>
      <c r="H30" s="23" t="n">
        <v>0.1</v>
      </c>
      <c r="I30" s="21" t="str">
        <v>USD</v>
      </c>
      <c r="J30" s="24" t="n">
        <f>IF(ISNUMBER(H30),H30*IF(I30="GBP",$B$5,1),"")</f>
        <v>0.1</v>
      </c>
      <c r="K30" s="24" t="n">
        <f>IF(ISNUMBER(J30),G30*J30,"")</f>
        <v>0.4</v>
      </c>
      <c r="L30" s="21" t="str">
        <v>PRICE EST.</v>
      </c>
      <c r="M30" s="25" t="str">
        <v>Open product</v>
      </c>
    </row>
    <row r="31" ht="24" customHeight="1">
      <c r="A31" s="4" t="str">
        <v>Power</v>
      </c>
      <c r="B31" s="4" t="str">
        <v>R18</v>
      </c>
      <c r="C31" s="4" t="str">
        <v>10 Ω 3 W axial charge resistor</v>
      </c>
      <c r="D31" s="4" t="str">
        <v>FMP300JR-73-10R</v>
      </c>
      <c r="E31" s="4" t="str">
        <v>Mouser</v>
      </c>
      <c r="F31" s="18" t="n">
        <v>1</v>
      </c>
      <c r="G31" s="18" t="n">
        <v>1</v>
      </c>
      <c r="H31" s="19" t="n">
        <v>0.28</v>
      </c>
      <c r="I31" s="4" t="str">
        <v>USD</v>
      </c>
      <c r="J31" s="11" t="n">
        <f>IF(ISNUMBER(H31),H31*IF(I31="GBP",$B$5,1),"")</f>
        <v>0.28</v>
      </c>
      <c r="K31" s="11" t="n">
        <f>IF(ISNUMBER(J31),G31*J31,"")</f>
        <v>0.28</v>
      </c>
      <c r="L31" s="26" t="str">
        <v>FIT CHECK</v>
      </c>
      <c r="M31" s="20" t="str">
        <v>Open product</v>
      </c>
    </row>
    <row r="32" ht="24" customHeight="1">
      <c r="A32" s="21" t="str">
        <v>Assembly</v>
      </c>
      <c r="B32" s="21" t="str">
        <v>J2–J4 nuts</v>
      </c>
      <c r="C32" s="21" t="str">
        <v>Knurled 3.5 mm jack nuts, bag of 50</v>
      </c>
      <c r="D32" s="21" t="str">
        <v>Thonkiconn knurled nuts 50-pack</v>
      </c>
      <c r="E32" s="21" t="str">
        <v>Thonk</v>
      </c>
      <c r="F32" s="22" t="n">
        <v>3</v>
      </c>
      <c r="G32" s="22" t="n">
        <v>1</v>
      </c>
      <c r="H32" s="23" t="n">
        <v>1.89</v>
      </c>
      <c r="I32" s="21" t="str">
        <v>GBP</v>
      </c>
      <c r="J32" s="24" t="n">
        <f>IF(ISNUMBER(H32),H32*IF(I32="GBP",$B$5,1),"")</f>
        <v>2.4966899999999996</v>
      </c>
      <c r="K32" s="24" t="n">
        <f>IF(ISNUMBER(J32),G32*J32,"")</f>
        <v>2.4966899999999996</v>
      </c>
      <c r="L32" s="21" t="str">
        <v>OTHER STORE</v>
      </c>
      <c r="M32" s="25" t="str">
        <v>Open product</v>
      </c>
    </row>
    <row r="33" ht="24" customHeight="1">
      <c r="A33" s="4" t="str">
        <v>Assembly</v>
      </c>
      <c r="B33" s="4" t="str">
        <v>J2–J4 washers</v>
      </c>
      <c r="C33" s="4" t="str">
        <v>Jack washers, bag of 50</v>
      </c>
      <c r="D33" s="4" t="str">
        <v>Thonkiconn washers 50-pack</v>
      </c>
      <c r="E33" s="4" t="str">
        <v>Thonk</v>
      </c>
      <c r="F33" s="18" t="n">
        <v>3</v>
      </c>
      <c r="G33" s="18" t="n">
        <v>1</v>
      </c>
      <c r="H33" s="19" t="n">
        <v>1.99</v>
      </c>
      <c r="I33" s="4" t="str">
        <v>GBP</v>
      </c>
      <c r="J33" s="11" t="n">
        <f>IF(ISNUMBER(H33),H33*IF(I33="GBP",$B$5,1),"")</f>
        <v>2.62879</v>
      </c>
      <c r="K33" s="11" t="n">
        <f>IF(ISNUMBER(J33),G33*J33,"")</f>
        <v>2.62879</v>
      </c>
      <c r="L33" s="4" t="str">
        <v>OTHER STORE</v>
      </c>
      <c r="M33" s="20" t="str">
        <v>Open product</v>
      </c>
    </row>
    <row r="34" ht="24" customHeight="1">
      <c r="A34" s="21" t="str">
        <v>Assembly</v>
      </c>
      <c r="B34" s="21" t="str">
        <v>Power ribbon</v>
      </c>
      <c r="C34" s="21" t="str">
        <v>10-to-16-pin 15 cm Eurorack ribbon cable</v>
      </c>
      <c r="D34" s="21" t="str">
        <v>10–16 pin ribbon cable 15 cm</v>
      </c>
      <c r="E34" s="21" t="str">
        <v>Thonk</v>
      </c>
      <c r="F34" s="22" t="n">
        <v>1</v>
      </c>
      <c r="G34" s="22" t="n">
        <v>1</v>
      </c>
      <c r="H34" s="23" t="n">
        <v>1.66</v>
      </c>
      <c r="I34" s="21" t="str">
        <v>GBP</v>
      </c>
      <c r="J34" s="24" t="n">
        <f>IF(ISNUMBER(H34),H34*IF(I34="GBP",$B$5,1),"")</f>
        <v>2.19286</v>
      </c>
      <c r="K34" s="24" t="n">
        <f>IF(ISNUMBER(J34),G34*J34,"")</f>
        <v>2.19286</v>
      </c>
      <c r="L34" s="21" t="str">
        <v>OTHER STORE</v>
      </c>
      <c r="M34" s="25" t="str">
        <v>Open product</v>
      </c>
    </row>
    <row r="35" ht="24" customHeight="1">
      <c r="A35" s="4" t="str">
        <v>Assembly</v>
      </c>
      <c r="B35" s="4" t="str">
        <v>Panel screws</v>
      </c>
      <c r="C35" s="4" t="str">
        <v>M3 rack screws for 8 HP panel</v>
      </c>
      <c r="D35" s="4" t="str">
        <v>Case-dependent M3 screws</v>
      </c>
      <c r="E35" s="4" t="str">
        <v>Owner supplied</v>
      </c>
      <c r="F35" s="18" t="n">
        <v>2</v>
      </c>
      <c r="G35" s="18" t="n">
        <v>2</v>
      </c>
      <c r="H35" s="19"/>
      <c r="I35" s="4" t="str">
        <v>USD</v>
      </c>
      <c r="J35" s="11" t="str">
        <f>IF(ISNUMBER(H35),H35*IF(I35="GBP",$B$5,1),"")</f>
      </c>
      <c r="K35" s="11" t="str">
        <f>IF(ISNUMBER(J35),G35*J35,"")</f>
      </c>
      <c r="L35" s="26" t="str">
        <v>FIT CHECK</v>
      </c>
      <c r="M35" s="20"/>
    </row>
    <row r="36" ht="24" customHeight="1">
      <c r="A36" s="21" t="str">
        <v>Assembly</v>
      </c>
      <c r="B36" s="21" t="str">
        <v>Encoder knob</v>
      </c>
      <c r="C36" s="21" t="str">
        <v>6 mm shaft knob matching purchased encoder</v>
      </c>
      <c r="D36" s="21" t="str">
        <v>Exact MPN unknown</v>
      </c>
      <c r="E36" s="21" t="str">
        <v>Owner supplied</v>
      </c>
      <c r="F36" s="22" t="n">
        <v>1</v>
      </c>
      <c r="G36" s="22" t="n">
        <v>1</v>
      </c>
      <c r="H36" s="23"/>
      <c r="I36" s="21" t="str">
        <v>USD</v>
      </c>
      <c r="J36" s="24" t="str">
        <f>IF(ISNUMBER(H36),H36*IF(I36="GBP",$B$5,1),"")</f>
      </c>
      <c r="K36" s="24" t="str">
        <f>IF(ISNUMBER(J36),G36*J36,"")</f>
      </c>
      <c r="L36" s="26" t="str">
        <v>FIT CHECK</v>
      </c>
      <c r="M36" s="25"/>
    </row>
    <row r="37" ht="24" customHeight="1">
      <c r="A37" s="4" t="str">
        <v>Fabrication</v>
      </c>
      <c r="B37" s="4" t="str">
        <v>Carrier PCB</v>
      </c>
      <c r="C37" s="4" t="str">
        <v>8 HP carrier PCB, latest Rev B files</v>
      </c>
      <c r="D37" s="4" t="str">
        <v>Slow-LFO-8HP-Carrier-RevB</v>
      </c>
      <c r="E37" s="4" t="str">
        <v>Fabricator TBD</v>
      </c>
      <c r="F37" s="18" t="n">
        <v>1</v>
      </c>
      <c r="G37" s="18" t="n">
        <v>1</v>
      </c>
      <c r="H37" s="19"/>
      <c r="I37" s="4" t="str">
        <v>USD</v>
      </c>
      <c r="J37" s="11" t="str">
        <f>IF(ISNUMBER(H37),H37*IF(I37="GBP",$B$5,1),"")</f>
      </c>
      <c r="K37" s="11" t="str">
        <f>IF(ISNUMBER(J37),G37*J37,"")</f>
      </c>
      <c r="L37" s="26" t="str">
        <v>QUOTE NEEDED</v>
      </c>
      <c r="M37" s="20"/>
    </row>
    <row r="38" ht="24" customHeight="1">
      <c r="A38" s="21" t="str">
        <v>Fabrication</v>
      </c>
      <c r="B38" s="21" t="str">
        <v>Faceplate</v>
      </c>
      <c r="C38" s="21" t="str">
        <v>8 HP drilled faceplate</v>
      </c>
      <c r="D38" s="21" t="str">
        <v>Slow-LFO-8HP-Faceplate</v>
      </c>
      <c r="E38" s="21" t="str">
        <v>Fabricator TBD</v>
      </c>
      <c r="F38" s="22" t="n">
        <v>1</v>
      </c>
      <c r="G38" s="22" t="n">
        <v>1</v>
      </c>
      <c r="H38" s="23"/>
      <c r="I38" s="21" t="str">
        <v>USD</v>
      </c>
      <c r="J38" s="24" t="str">
        <f>IF(ISNUMBER(H38),H38*IF(I38="GBP",$B$5,1),"")</f>
      </c>
      <c r="K38" s="24" t="str">
        <f>IF(ISNUMBER(J38),G38*J38,"")</f>
      </c>
      <c r="L38" s="26" t="str">
        <v>QUOTE NEEDED</v>
      </c>
      <c r="M38" s="25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</row>
    <row r="40">
      <c r="A40" s="4"/>
      <c r="B40" s="4"/>
      <c r="C40" s="4"/>
      <c r="D40" s="4"/>
      <c r="E40" s="28" t="str">
        <v>PCB fitted references</v>
      </c>
      <c r="F40" s="28" t="n">
        <f>SUM(F13:F31)</f>
        <v>41</v>
      </c>
      <c r="G40" s="28"/>
      <c r="H40" s="28" t="str">
        <v>Expected 41</v>
      </c>
      <c r="I40" s="28"/>
      <c r="J40" s="28" t="str">
        <v>Priced sum</v>
      </c>
      <c r="K40" s="29" t="n">
        <f>SUM(K13:K38)</f>
        <v>42.26428</v>
      </c>
      <c r="L40" s="4"/>
      <c r="M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>
      <c r="A42" s="13" t="str">
        <v>Ordering gate</v>
      </c>
      <c r="B42" s="30" t="str">
        <v>C9 footprint is not a verified match; C11 is backordered; encoder has no exact manufacturer SKU; custom PCB/faceplate need quotes.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>
      <c r="A43" s="13" t="str">
        <v>Storefront limit</v>
      </c>
      <c r="B43" s="30" t="str">
        <v>Exact RP2040-Matrix and QingPu-compatible jacks were not found at Mouser. Three component storefronts plus fabrication are currently required.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</sheetData>
  <pageMargins left="0.7" right="0.7" top="0.75" bottom="0.75" header="0.3" footer="0.3"/>
  <hyperlinks>
    <hyperlink ref="M13" r:id="rId1"/>
    <hyperlink ref="M14" r:id="rId2"/>
    <hyperlink ref="M15" r:id="rId3"/>
    <hyperlink ref="M17" r:id="rId4"/>
    <hyperlink ref="M18" r:id="rId5"/>
    <hyperlink ref="M19" r:id="rId6"/>
    <hyperlink ref="M20" r:id="rId7"/>
    <hyperlink ref="M21" r:id="rId8"/>
    <hyperlink ref="M22" r:id="rId9"/>
    <hyperlink ref="M23" r:id="rId10"/>
    <hyperlink ref="M24" r:id="rId11"/>
    <hyperlink ref="M25" r:id="rId12"/>
    <hyperlink ref="M26" r:id="rId13"/>
    <hyperlink ref="M27" r:id="rId14"/>
    <hyperlink ref="M28" r:id="rId15"/>
    <hyperlink ref="M29" r:id="rId16"/>
    <hyperlink ref="M30" r:id="rId17"/>
    <hyperlink ref="M31" r:id="rId18"/>
    <hyperlink ref="M32" r:id="rId19"/>
    <hyperlink ref="M33" r:id="rId20"/>
    <hyperlink ref="M34" r:id="rId21"/>
  </hyperlinks>
</worksheet>
</file>